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632" documentId="8_{0714D6D0-C0E6-4570-B139-85828D0C1543}" xr6:coauthVersionLast="47" xr6:coauthVersionMax="47" xr10:uidLastSave="{8BFB609E-8D18-4CA9-9668-E81644817547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6" i="2" l="1"/>
  <c r="I66" i="2"/>
  <c r="J65" i="2"/>
  <c r="I65" i="2"/>
  <c r="J64" i="2"/>
  <c r="I64" i="2"/>
  <c r="J63" i="2"/>
  <c r="I63" i="2"/>
  <c r="I39" i="2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<sst xmlns="http://schemas.openxmlformats.org/spreadsheetml/2006/main" count="315" uniqueCount="102">
  <si>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</si>
  <si>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</si>
  <si>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</si>
  <si>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</si>
  <si>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</si>
  <si>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</si>
  <si>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</si>
  <si>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</si>
  <si>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</si>
  <si>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</si>
  <si>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</si>
  <si>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</si>
  <si>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</si>
  <si>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</si>
  <si>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</si>
  <si>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</si>
  <si>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</si>
  <si>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</si>
  <si>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</si>
  <si>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</si>
  <si>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</si>
  <si>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</si>
  <si>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</si>
  <si>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</si>
  <si>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</si>
  <si>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</si>
  <si>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</si>
  <si>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</si>
  <si>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</si>
  <si>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</si>
  <si>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</si>
  <si>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</si>
  <si>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</si>
  <si>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</si>
  <si>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</si>
  <si>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</si>
  <si>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</si>
  <si>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</si>
  <si>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</si>
  <si>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</si>
  <si>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</si>
  <si>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</si>
  <si>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</si>
  <si>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</si>
  <si>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</si>
  <si>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</si>
  <si>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</si>
  <si>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</si>
  <si>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</si>
  <si>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</si>
  <si>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</si>
  <si>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</si>
  <si>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</si>
  <si>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</si>
  <si>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</si>
  <si>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</si>
  <si>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</si>
  <si>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</si>
  <si>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</si>
  <si>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</si>
  <si>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</si>
  <si>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</si>
  <si>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</si>
  <si>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</si>
  <si>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</si>
  <si>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</si>
  <si>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</si>
  <si>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</si>
  <si>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</si>
  <si>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</si>
  <si>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</si>
  <si>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</si>
  <si>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</si>
  <si>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</si>
  <si>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</si>
  <si>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</si>
  <si>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</si>
  <si>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</si>
  <si>
    <t>good productive day</t>
  </si>
  <si>
    <t>to day prepear for ca</t>
  </si>
  <si>
    <t>today DBMS CA2</t>
  </si>
  <si>
    <t>today start lpu protest</t>
  </si>
  <si>
    <t xml:space="preserve">today fell very bad </t>
  </si>
  <si>
    <t xml:space="preserve">pack bag </t>
  </si>
  <si>
    <t>travel to a village</t>
  </si>
  <si>
    <t>I was on the train today</t>
  </si>
  <si>
    <t>I was viste agriculture land today</t>
  </si>
  <si>
    <t xml:space="preserve"> preparation for exam today</t>
  </si>
  <si>
    <t>today strat online classes</t>
  </si>
  <si>
    <t>attend online class</t>
  </si>
  <si>
    <t>today online class</t>
  </si>
  <si>
    <t>doubt classes</t>
  </si>
  <si>
    <t xml:space="preserve"> clearing all doubt</t>
  </si>
  <si>
    <t>Good Day</t>
  </si>
  <si>
    <t xml:space="preserve"> 2026-10-15</t>
  </si>
  <si>
    <t xml:space="preserve"> 2026-10-16</t>
  </si>
  <si>
    <t>to prepration for exam</t>
  </si>
  <si>
    <t xml:space="preserve"> exam preprations</t>
  </si>
  <si>
    <t xml:space="preserve"> 2026-10-17</t>
  </si>
  <si>
    <t xml:space="preserve"> today back for LPU</t>
  </si>
  <si>
    <t>today I am on train</t>
  </si>
  <si>
    <t>today start class after midterm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</si>
</sst>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N70" sqref="N7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>
        <v>46287</v>
      </c>
      <c r="B41" s="14">
        <v>420</v>
      </c>
      <c r="C41" s="14">
        <v>20</v>
      </c>
      <c r="D41" s="14">
        <v>210</v>
      </c>
      <c r="E41" s="14">
        <v>100</v>
      </c>
      <c r="F41" s="14">
        <v>350</v>
      </c>
      <c r="G41" s="14">
        <v>7</v>
      </c>
      <c r="H41" s="14">
        <v>200</v>
      </c>
      <c r="I41" s="15">
        <f t="shared" si="0"/>
        <v>1300</v>
      </c>
      <c r="J41" s="15">
        <f t="shared" si="1"/>
        <v>140</v>
      </c>
      <c r="K41" s="16" t="s">
        <v>64</v>
      </c>
      <c r="L41" s="16" t="s">
        <v>57</v>
      </c>
      <c r="M41" s="16" t="s">
        <v>55</v>
      </c>
      <c r="N41" s="17" t="s">
        <v>78</v>
      </c>
    </row>
    <row r="42" spans="1:14" x14ac:dyDescent="0.3">
      <c r="A42" s="13">
        <v>46288</v>
      </c>
      <c r="B42" s="14">
        <v>430</v>
      </c>
      <c r="C42" s="14">
        <v>20</v>
      </c>
      <c r="D42" s="14">
        <v>180</v>
      </c>
      <c r="E42" s="14">
        <v>150</v>
      </c>
      <c r="F42" s="14">
        <v>250</v>
      </c>
      <c r="G42" s="14">
        <v>4</v>
      </c>
      <c r="H42" s="14">
        <v>300</v>
      </c>
      <c r="I42" s="15">
        <f t="shared" si="0"/>
        <v>1330</v>
      </c>
      <c r="J42" s="15">
        <f t="shared" si="1"/>
        <v>110</v>
      </c>
      <c r="K42" s="16" t="s">
        <v>64</v>
      </c>
      <c r="L42" s="16" t="s">
        <v>57</v>
      </c>
      <c r="M42" s="16" t="s">
        <v>51</v>
      </c>
      <c r="N42" s="17" t="s">
        <v>62</v>
      </c>
    </row>
    <row r="43" spans="1:14" x14ac:dyDescent="0.3">
      <c r="A43" s="13">
        <v>46289</v>
      </c>
      <c r="B43" s="14">
        <v>400</v>
      </c>
      <c r="C43" s="14">
        <v>15</v>
      </c>
      <c r="D43" s="14">
        <v>190</v>
      </c>
      <c r="E43" s="14">
        <v>100</v>
      </c>
      <c r="F43" s="14">
        <v>350</v>
      </c>
      <c r="G43" s="14">
        <v>7</v>
      </c>
      <c r="H43" s="14">
        <v>250</v>
      </c>
      <c r="I43" s="15">
        <f t="shared" si="0"/>
        <v>1305</v>
      </c>
      <c r="J43" s="15">
        <f t="shared" si="1"/>
        <v>135</v>
      </c>
      <c r="K43" s="16" t="s">
        <v>64</v>
      </c>
      <c r="L43" s="16" t="s">
        <v>50</v>
      </c>
      <c r="M43" s="16" t="s">
        <v>55</v>
      </c>
      <c r="N43" s="17" t="s">
        <v>79</v>
      </c>
    </row>
    <row r="44" spans="1:14" x14ac:dyDescent="0.3">
      <c r="A44" s="13">
        <v>46290</v>
      </c>
      <c r="B44" s="14">
        <v>420</v>
      </c>
      <c r="C44" s="14">
        <v>30</v>
      </c>
      <c r="D44" s="14">
        <v>220</v>
      </c>
      <c r="E44" s="14">
        <v>50</v>
      </c>
      <c r="F44" s="14">
        <v>350</v>
      </c>
      <c r="G44" s="14">
        <v>7</v>
      </c>
      <c r="H44" s="14">
        <v>300</v>
      </c>
      <c r="I44" s="15">
        <f t="shared" si="0"/>
        <v>1370</v>
      </c>
      <c r="J44" s="15">
        <f t="shared" si="1"/>
        <v>70</v>
      </c>
      <c r="K44" s="16" t="s">
        <v>64</v>
      </c>
      <c r="L44" s="16" t="s">
        <v>57</v>
      </c>
      <c r="M44" s="16" t="s">
        <v>55</v>
      </c>
      <c r="N44" s="17" t="s">
        <v>80</v>
      </c>
    </row>
    <row r="45" spans="1:14" x14ac:dyDescent="0.3">
      <c r="A45" s="13">
        <v>46291</v>
      </c>
      <c r="B45" s="14">
        <v>450</v>
      </c>
      <c r="C45" s="14">
        <v>40</v>
      </c>
      <c r="D45" s="14">
        <v>350</v>
      </c>
      <c r="E45" s="14">
        <v>120</v>
      </c>
      <c r="F45" s="14">
        <v>0</v>
      </c>
      <c r="G45" s="14">
        <v>0</v>
      </c>
      <c r="H45" s="14">
        <v>350</v>
      </c>
      <c r="I45" s="15">
        <f t="shared" si="0"/>
        <v>1310</v>
      </c>
      <c r="J45" s="15">
        <f t="shared" si="1"/>
        <v>130</v>
      </c>
      <c r="K45" s="16" t="s">
        <v>49</v>
      </c>
      <c r="L45" s="16" t="s">
        <v>57</v>
      </c>
      <c r="M45" s="16" t="s">
        <v>55</v>
      </c>
      <c r="N45" s="17" t="s">
        <v>72</v>
      </c>
    </row>
    <row r="46" spans="1:14" x14ac:dyDescent="0.3">
      <c r="A46" s="13">
        <v>46292</v>
      </c>
      <c r="B46" s="14">
        <v>420</v>
      </c>
      <c r="C46" s="14">
        <v>20</v>
      </c>
      <c r="D46" s="14">
        <v>120</v>
      </c>
      <c r="E46" s="14">
        <v>50</v>
      </c>
      <c r="F46" s="14">
        <v>0</v>
      </c>
      <c r="G46" s="14">
        <v>0</v>
      </c>
      <c r="H46" s="14">
        <v>450</v>
      </c>
      <c r="I46" s="15">
        <f t="shared" si="0"/>
        <v>1060</v>
      </c>
      <c r="J46" s="15">
        <f t="shared" si="1"/>
        <v>380</v>
      </c>
      <c r="K46" s="16" t="s">
        <v>64</v>
      </c>
      <c r="L46" s="16" t="s">
        <v>57</v>
      </c>
      <c r="M46" s="16" t="s">
        <v>51</v>
      </c>
      <c r="N46" s="17" t="s">
        <v>81</v>
      </c>
    </row>
    <row r="47" spans="1:14" x14ac:dyDescent="0.3">
      <c r="A47" s="13">
        <v>46293</v>
      </c>
      <c r="B47" s="14">
        <v>450</v>
      </c>
      <c r="C47" s="14">
        <v>30</v>
      </c>
      <c r="D47" s="14">
        <v>350</v>
      </c>
      <c r="E47" s="14">
        <v>140</v>
      </c>
      <c r="F47" s="14">
        <v>0</v>
      </c>
      <c r="G47" s="14">
        <v>0</v>
      </c>
      <c r="H47" s="14">
        <v>260</v>
      </c>
      <c r="I47" s="15">
        <f t="shared" si="0"/>
        <v>1230</v>
      </c>
      <c r="J47" s="15">
        <f t="shared" si="1"/>
        <v>210</v>
      </c>
      <c r="K47" s="16" t="s">
        <v>64</v>
      </c>
      <c r="L47" s="16" t="s">
        <v>57</v>
      </c>
      <c r="M47" s="16" t="s">
        <v>51</v>
      </c>
      <c r="N47" s="17" t="s">
        <v>82</v>
      </c>
    </row>
    <row r="48" spans="1:14" x14ac:dyDescent="0.3">
      <c r="A48" s="13">
        <v>46294</v>
      </c>
      <c r="B48" s="14">
        <v>480</v>
      </c>
      <c r="C48" s="14">
        <v>40</v>
      </c>
      <c r="D48" s="14">
        <v>120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940</v>
      </c>
      <c r="J48" s="15">
        <f t="shared" si="1"/>
        <v>500</v>
      </c>
      <c r="K48" s="16" t="s">
        <v>49</v>
      </c>
      <c r="L48" s="16" t="s">
        <v>50</v>
      </c>
      <c r="M48" s="16" t="s">
        <v>55</v>
      </c>
      <c r="N48" s="17" t="s">
        <v>83</v>
      </c>
    </row>
    <row r="49" spans="1:14" x14ac:dyDescent="0.3">
      <c r="A49" s="13">
        <v>46295</v>
      </c>
      <c r="B49" s="14">
        <v>420</v>
      </c>
      <c r="C49" s="14">
        <v>20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740</v>
      </c>
      <c r="J49" s="15">
        <f t="shared" si="1"/>
        <v>700</v>
      </c>
      <c r="K49" s="16" t="s">
        <v>64</v>
      </c>
      <c r="L49" s="16" t="s">
        <v>56</v>
      </c>
      <c r="M49" s="16" t="s">
        <v>55</v>
      </c>
      <c r="N49" s="17" t="s">
        <v>84</v>
      </c>
    </row>
    <row r="50" spans="1:14" x14ac:dyDescent="0.3">
      <c r="A50" s="13">
        <v>46296</v>
      </c>
      <c r="B50" s="14">
        <v>600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300</v>
      </c>
      <c r="I50" s="15">
        <f t="shared" si="0"/>
        <v>900</v>
      </c>
      <c r="J50" s="15">
        <f t="shared" si="1"/>
        <v>540</v>
      </c>
      <c r="K50" s="16" t="s">
        <v>64</v>
      </c>
      <c r="L50" s="16" t="s">
        <v>56</v>
      </c>
      <c r="M50" s="16" t="s">
        <v>51</v>
      </c>
      <c r="N50" s="17" t="s">
        <v>85</v>
      </c>
    </row>
    <row r="51" spans="1:14" x14ac:dyDescent="0.3">
      <c r="A51" s="13">
        <v>46297</v>
      </c>
      <c r="B51" s="14">
        <v>720</v>
      </c>
      <c r="C51" s="14">
        <v>50</v>
      </c>
      <c r="D51" s="14">
        <v>150</v>
      </c>
      <c r="E51" s="14">
        <v>50</v>
      </c>
      <c r="F51" s="14">
        <v>0</v>
      </c>
      <c r="G51" s="14">
        <v>0</v>
      </c>
      <c r="H51" s="14">
        <v>400</v>
      </c>
      <c r="I51" s="15">
        <f t="shared" si="0"/>
        <v>1370</v>
      </c>
      <c r="J51" s="15">
        <f t="shared" si="1"/>
        <v>70</v>
      </c>
      <c r="K51" s="16" t="s">
        <v>64</v>
      </c>
      <c r="L51" s="16" t="s">
        <v>50</v>
      </c>
      <c r="M51" s="16" t="s">
        <v>55</v>
      </c>
      <c r="N51" s="17" t="s">
        <v>86</v>
      </c>
    </row>
    <row r="52" spans="1:14" x14ac:dyDescent="0.3">
      <c r="A52" s="13">
        <v>46298</v>
      </c>
      <c r="B52" s="14">
        <v>750</v>
      </c>
      <c r="C52" s="14">
        <v>40</v>
      </c>
      <c r="D52" s="14">
        <v>260</v>
      </c>
      <c r="E52" s="14">
        <v>180</v>
      </c>
      <c r="F52" s="14">
        <v>0</v>
      </c>
      <c r="G52" s="14">
        <v>0</v>
      </c>
      <c r="H52" s="14">
        <v>120</v>
      </c>
      <c r="I52" s="15">
        <f t="shared" si="0"/>
        <v>1350</v>
      </c>
      <c r="J52" s="15">
        <f t="shared" si="1"/>
        <v>90</v>
      </c>
      <c r="K52" s="16" t="s">
        <v>56</v>
      </c>
      <c r="L52" s="16" t="s">
        <v>50</v>
      </c>
      <c r="M52" s="16" t="s">
        <v>51</v>
      </c>
      <c r="N52" s="17" t="s">
        <v>87</v>
      </c>
    </row>
    <row r="53" spans="1:14" x14ac:dyDescent="0.3">
      <c r="A53" s="13">
        <v>46299</v>
      </c>
      <c r="B53" s="14">
        <v>700</v>
      </c>
      <c r="C53" s="14">
        <v>60</v>
      </c>
      <c r="D53" s="14">
        <v>300</v>
      </c>
      <c r="E53" s="14">
        <v>100</v>
      </c>
      <c r="F53" s="14">
        <v>0</v>
      </c>
      <c r="G53" s="14">
        <v>0</v>
      </c>
      <c r="H53" s="14">
        <v>150</v>
      </c>
      <c r="I53" s="15">
        <f t="shared" si="0"/>
        <v>1310</v>
      </c>
      <c r="J53" s="15">
        <f t="shared" si="1"/>
        <v>130</v>
      </c>
      <c r="K53" s="16" t="s">
        <v>64</v>
      </c>
      <c r="L53" s="16" t="s">
        <v>50</v>
      </c>
      <c r="M53" s="16" t="s">
        <v>51</v>
      </c>
      <c r="N53" s="17" t="s">
        <v>62</v>
      </c>
    </row>
    <row r="54" spans="1:14" x14ac:dyDescent="0.3">
      <c r="A54" s="13">
        <v>46300</v>
      </c>
      <c r="B54" s="14">
        <v>740</v>
      </c>
      <c r="C54" s="14">
        <v>50</v>
      </c>
      <c r="D54" s="14">
        <v>200</v>
      </c>
      <c r="E54" s="14">
        <v>180</v>
      </c>
      <c r="F54" s="14">
        <v>100</v>
      </c>
      <c r="G54" s="14">
        <v>2</v>
      </c>
      <c r="H54" s="14">
        <v>120</v>
      </c>
      <c r="I54" s="15">
        <f t="shared" si="0"/>
        <v>1390</v>
      </c>
      <c r="J54" s="15">
        <f t="shared" si="1"/>
        <v>50</v>
      </c>
      <c r="K54" s="16" t="s">
        <v>64</v>
      </c>
      <c r="L54" s="16" t="s">
        <v>50</v>
      </c>
      <c r="M54" s="16" t="s">
        <v>55</v>
      </c>
      <c r="N54" s="17" t="s">
        <v>88</v>
      </c>
    </row>
    <row r="55" spans="1:14" x14ac:dyDescent="0.3">
      <c r="A55" s="13">
        <v>46301</v>
      </c>
      <c r="B55" s="14">
        <v>730</v>
      </c>
      <c r="C55" s="14">
        <v>40</v>
      </c>
      <c r="D55" s="14">
        <v>90</v>
      </c>
      <c r="E55" s="14">
        <v>0</v>
      </c>
      <c r="F55" s="14">
        <v>350</v>
      </c>
      <c r="G55" s="14">
        <v>7</v>
      </c>
      <c r="H55" s="14">
        <v>140</v>
      </c>
      <c r="I55" s="15">
        <f t="shared" si="0"/>
        <v>1350</v>
      </c>
      <c r="J55" s="15">
        <f t="shared" si="1"/>
        <v>90</v>
      </c>
      <c r="K55" s="16" t="s">
        <v>64</v>
      </c>
      <c r="L55" s="16" t="s">
        <v>57</v>
      </c>
      <c r="M55" s="16" t="s">
        <v>55</v>
      </c>
      <c r="N55" s="17" t="s">
        <v>89</v>
      </c>
    </row>
    <row r="56" spans="1:14" x14ac:dyDescent="0.3">
      <c r="A56" s="13">
        <v>44111</v>
      </c>
      <c r="B56" s="14">
        <v>720</v>
      </c>
      <c r="C56" s="14">
        <v>50</v>
      </c>
      <c r="D56" s="14">
        <v>150</v>
      </c>
      <c r="E56" s="14">
        <v>60</v>
      </c>
      <c r="F56" s="14">
        <v>200</v>
      </c>
      <c r="G56" s="14">
        <v>4</v>
      </c>
      <c r="H56" s="14">
        <v>150</v>
      </c>
      <c r="I56" s="15">
        <f t="shared" si="0"/>
        <v>1330</v>
      </c>
      <c r="J56" s="15">
        <f t="shared" si="1"/>
        <v>110</v>
      </c>
      <c r="K56" s="16" t="s">
        <v>49</v>
      </c>
      <c r="L56" s="16" t="s">
        <v>50</v>
      </c>
      <c r="M56" s="16" t="s">
        <v>55</v>
      </c>
      <c r="N56" s="17" t="s">
        <v>90</v>
      </c>
    </row>
    <row r="57" spans="1:14" x14ac:dyDescent="0.3">
      <c r="A57" s="13">
        <v>44112</v>
      </c>
      <c r="B57" s="14">
        <v>720</v>
      </c>
      <c r="C57" s="14">
        <v>30</v>
      </c>
      <c r="D57" s="14">
        <v>120</v>
      </c>
      <c r="E57" s="14">
        <v>50</v>
      </c>
      <c r="F57" s="14">
        <v>350</v>
      </c>
      <c r="G57" s="14">
        <v>7</v>
      </c>
      <c r="H57" s="14">
        <v>130</v>
      </c>
      <c r="I57" s="15">
        <f t="shared" si="0"/>
        <v>1400</v>
      </c>
      <c r="J57" s="15">
        <f t="shared" si="1"/>
        <v>40</v>
      </c>
      <c r="K57" s="16" t="s">
        <v>64</v>
      </c>
      <c r="L57" s="16" t="s">
        <v>57</v>
      </c>
      <c r="M57" s="16" t="s">
        <v>55</v>
      </c>
      <c r="N57" s="17" t="s">
        <v>91</v>
      </c>
    </row>
    <row r="58" spans="1:14" x14ac:dyDescent="0.3">
      <c r="A58" s="13">
        <v>46304</v>
      </c>
      <c r="B58" s="14">
        <v>720</v>
      </c>
      <c r="C58" s="14">
        <v>50</v>
      </c>
      <c r="D58" s="14">
        <v>60</v>
      </c>
      <c r="E58" s="14">
        <v>30</v>
      </c>
      <c r="F58" s="14">
        <v>350</v>
      </c>
      <c r="G58" s="14">
        <v>7</v>
      </c>
      <c r="H58" s="14">
        <v>150</v>
      </c>
      <c r="I58" s="15">
        <f t="shared" si="0"/>
        <v>1360</v>
      </c>
      <c r="J58" s="15">
        <f t="shared" si="1"/>
        <v>80</v>
      </c>
      <c r="K58" s="16" t="s">
        <v>64</v>
      </c>
      <c r="L58" s="16" t="s">
        <v>57</v>
      </c>
      <c r="M58" s="16" t="s">
        <v>55</v>
      </c>
      <c r="N58" s="17" t="s">
        <v>92</v>
      </c>
    </row>
    <row r="59" spans="1:14" x14ac:dyDescent="0.3">
      <c r="A59" s="13">
        <v>46305</v>
      </c>
      <c r="B59" s="14">
        <v>720</v>
      </c>
      <c r="C59" s="14">
        <v>50</v>
      </c>
      <c r="D59" s="14">
        <v>180</v>
      </c>
      <c r="E59" s="14">
        <v>90</v>
      </c>
      <c r="F59" s="14">
        <v>0</v>
      </c>
      <c r="G59" s="14">
        <v>0</v>
      </c>
      <c r="H59" s="14">
        <v>140</v>
      </c>
      <c r="I59" s="15">
        <f t="shared" si="0"/>
        <v>1180</v>
      </c>
      <c r="J59" s="15">
        <f t="shared" si="1"/>
        <v>260</v>
      </c>
      <c r="K59" s="16" t="s">
        <v>64</v>
      </c>
      <c r="L59" s="16" t="s">
        <v>50</v>
      </c>
      <c r="M59" s="16" t="s">
        <v>51</v>
      </c>
      <c r="N59" s="17" t="s">
        <v>62</v>
      </c>
    </row>
    <row r="60" spans="1:14" x14ac:dyDescent="0.3">
      <c r="A60" s="13">
        <v>46306</v>
      </c>
      <c r="B60" s="14">
        <v>740</v>
      </c>
      <c r="C60" s="14">
        <v>65</v>
      </c>
      <c r="D60" s="14">
        <v>250</v>
      </c>
      <c r="E60" s="14">
        <v>120</v>
      </c>
      <c r="F60" s="14">
        <v>0</v>
      </c>
      <c r="G60" s="14">
        <v>0</v>
      </c>
      <c r="H60" s="14">
        <v>150</v>
      </c>
      <c r="I60" s="15">
        <f t="shared" si="0"/>
        <v>1325</v>
      </c>
      <c r="J60" s="15">
        <f t="shared" si="1"/>
        <v>115</v>
      </c>
      <c r="K60" s="16" t="s">
        <v>64</v>
      </c>
      <c r="L60" s="16" t="s">
        <v>50</v>
      </c>
      <c r="M60" s="16" t="s">
        <v>51</v>
      </c>
      <c r="N60" s="17" t="s">
        <v>62</v>
      </c>
    </row>
    <row r="61" spans="1:14" x14ac:dyDescent="0.3">
      <c r="A61" s="13">
        <v>46307</v>
      </c>
      <c r="B61" s="14">
        <v>720</v>
      </c>
      <c r="C61" s="14">
        <v>45</v>
      </c>
      <c r="D61" s="14">
        <v>220</v>
      </c>
      <c r="E61" s="14">
        <v>150</v>
      </c>
      <c r="F61" s="14">
        <v>0</v>
      </c>
      <c r="G61" s="14">
        <v>0</v>
      </c>
      <c r="H61" s="14">
        <v>260</v>
      </c>
      <c r="I61" s="15">
        <f t="shared" si="0"/>
        <v>1395</v>
      </c>
      <c r="J61" s="15">
        <f t="shared" si="1"/>
        <v>45</v>
      </c>
      <c r="K61" s="16" t="s">
        <v>64</v>
      </c>
      <c r="L61" s="16" t="s">
        <v>57</v>
      </c>
      <c r="M61" s="16" t="s">
        <v>55</v>
      </c>
      <c r="N61" s="17" t="s">
        <v>93</v>
      </c>
    </row>
    <row r="62" spans="1:14" x14ac:dyDescent="0.3">
      <c r="A62" s="13">
        <v>46308</v>
      </c>
      <c r="B62" s="14">
        <v>750</v>
      </c>
      <c r="C62" s="14">
        <v>60</v>
      </c>
      <c r="D62" s="14">
        <v>180</v>
      </c>
      <c r="E62" s="14">
        <v>120</v>
      </c>
      <c r="F62" s="14">
        <v>0</v>
      </c>
      <c r="G62" s="14">
        <v>0</v>
      </c>
      <c r="H62" s="14">
        <v>150</v>
      </c>
      <c r="I62" s="15">
        <f t="shared" si="0"/>
        <v>1260</v>
      </c>
      <c r="J62" s="15">
        <f t="shared" si="1"/>
        <v>180</v>
      </c>
      <c r="K62" s="16" t="s">
        <v>49</v>
      </c>
      <c r="L62" s="16" t="s">
        <v>57</v>
      </c>
      <c r="M62" s="16" t="s">
        <v>51</v>
      </c>
      <c r="N62" s="17" t="s">
        <v>62</v>
      </c>
    </row>
    <row r="63" spans="1:14" x14ac:dyDescent="0.3">
      <c r="A63" s="13">
        <v>46309</v>
      </c>
      <c r="B63" s="14">
        <v>720</v>
      </c>
      <c r="C63" s="14">
        <v>50</v>
      </c>
      <c r="D63" s="14">
        <v>180</v>
      </c>
      <c r="E63" s="14">
        <v>90</v>
      </c>
      <c r="F63" s="14">
        <v>0</v>
      </c>
      <c r="G63" s="14">
        <v>0</v>
      </c>
      <c r="H63" s="14">
        <v>140</v>
      </c>
      <c r="I63" s="15">
        <f t="shared" ref="I63:I66" si="8">IF(SUM(B63:F63,H63)=0,"",SUM(B63:F63,H63))</f>
        <v>1180</v>
      </c>
      <c r="J63" s="15">
        <f t="shared" ref="J63:J66" si="9">IF(I63="","",1440-I63)</f>
        <v>260</v>
      </c>
      <c r="K63" s="16" t="s">
        <v>64</v>
      </c>
      <c r="L63" s="16" t="s">
        <v>50</v>
      </c>
      <c r="M63" s="16" t="s">
        <v>51</v>
      </c>
      <c r="N63" s="17" t="s">
        <v>62</v>
      </c>
    </row>
    <row r="64" spans="1:14" x14ac:dyDescent="0.3">
      <c r="A64" s="13" t="s">
        <v>94</v>
      </c>
      <c r="B64" s="14">
        <v>740</v>
      </c>
      <c r="C64" s="14">
        <v>65</v>
      </c>
      <c r="D64" s="14">
        <v>250</v>
      </c>
      <c r="E64" s="14">
        <v>120</v>
      </c>
      <c r="F64" s="14">
        <v>0</v>
      </c>
      <c r="G64" s="14">
        <v>0</v>
      </c>
      <c r="H64" s="14">
        <v>150</v>
      </c>
      <c r="I64" s="15">
        <f t="shared" si="8"/>
        <v>1325</v>
      </c>
      <c r="J64" s="15">
        <f t="shared" si="9"/>
        <v>115</v>
      </c>
      <c r="K64" s="16" t="s">
        <v>64</v>
      </c>
      <c r="L64" s="16" t="s">
        <v>50</v>
      </c>
      <c r="M64" s="16" t="s">
        <v>55</v>
      </c>
      <c r="N64" s="17" t="s">
        <v>96</v>
      </c>
    </row>
    <row r="65" spans="1:14" x14ac:dyDescent="0.3">
      <c r="A65" s="13" t="s">
        <v>95</v>
      </c>
      <c r="B65" s="14">
        <v>720</v>
      </c>
      <c r="C65" s="14">
        <v>45</v>
      </c>
      <c r="D65" s="14">
        <v>220</v>
      </c>
      <c r="E65" s="14">
        <v>150</v>
      </c>
      <c r="F65" s="14">
        <v>0</v>
      </c>
      <c r="G65" s="14">
        <v>0</v>
      </c>
      <c r="H65" s="14">
        <v>260</v>
      </c>
      <c r="I65" s="15">
        <f t="shared" si="8"/>
        <v>1395</v>
      </c>
      <c r="J65" s="15">
        <f t="shared" si="9"/>
        <v>45</v>
      </c>
      <c r="K65" s="16" t="s">
        <v>64</v>
      </c>
      <c r="L65" s="16" t="s">
        <v>57</v>
      </c>
      <c r="M65" s="16" t="s">
        <v>55</v>
      </c>
      <c r="N65" s="17" t="s">
        <v>97</v>
      </c>
    </row>
    <row r="66" spans="1:14" x14ac:dyDescent="0.3">
      <c r="A66" s="13" t="s">
        <v>98</v>
      </c>
      <c r="B66" s="14">
        <v>750</v>
      </c>
      <c r="C66" s="14">
        <v>60</v>
      </c>
      <c r="D66" s="14">
        <v>180</v>
      </c>
      <c r="E66" s="14">
        <v>120</v>
      </c>
      <c r="F66" s="14">
        <v>0</v>
      </c>
      <c r="G66" s="14">
        <v>0</v>
      </c>
      <c r="H66" s="14">
        <v>150</v>
      </c>
      <c r="I66" s="15">
        <f t="shared" si="8"/>
        <v>1260</v>
      </c>
      <c r="J66" s="15">
        <f t="shared" si="9"/>
        <v>180</v>
      </c>
      <c r="K66" s="16" t="s">
        <v>49</v>
      </c>
      <c r="L66" s="16" t="s">
        <v>57</v>
      </c>
      <c r="M66" s="16" t="s">
        <v>51</v>
      </c>
      <c r="N66" s="17" t="s">
        <v>99</v>
      </c>
    </row>
    <row r="67" spans="1:14" x14ac:dyDescent="0.3">
      <c r="A67" s="13">
        <v>46312</v>
      </c>
      <c r="B67" s="14">
        <v>850</v>
      </c>
      <c r="C67" s="14">
        <v>0</v>
      </c>
      <c r="D67" s="14">
        <v>180</v>
      </c>
      <c r="E67" s="14">
        <v>0</v>
      </c>
      <c r="F67" s="14">
        <v>0</v>
      </c>
      <c r="G67" s="14">
        <v>0</v>
      </c>
      <c r="H67" s="14">
        <v>200</v>
      </c>
      <c r="I67" s="15">
        <f t="shared" si="0"/>
        <v>1230</v>
      </c>
      <c r="J67" s="15">
        <f t="shared" si="1"/>
        <v>210</v>
      </c>
      <c r="K67" s="16" t="s">
        <v>56</v>
      </c>
      <c r="L67" s="16" t="s">
        <v>56</v>
      </c>
      <c r="M67" s="16" t="s">
        <v>58</v>
      </c>
      <c r="N67" s="17" t="s">
        <v>100</v>
      </c>
    </row>
    <row r="68" spans="1:14" x14ac:dyDescent="0.3">
      <c r="A68" s="13">
        <v>46313</v>
      </c>
      <c r="B68" s="14">
        <v>820</v>
      </c>
      <c r="C68" s="14">
        <v>20</v>
      </c>
      <c r="D68" s="14">
        <v>150</v>
      </c>
      <c r="E68" s="14">
        <v>20</v>
      </c>
      <c r="F68" s="14">
        <v>0</v>
      </c>
      <c r="G68" s="14">
        <v>0</v>
      </c>
      <c r="H68" s="14">
        <v>240</v>
      </c>
      <c r="I68" s="15">
        <f t="shared" si="0"/>
        <v>1250</v>
      </c>
      <c r="J68" s="15">
        <f t="shared" si="1"/>
        <v>190</v>
      </c>
      <c r="K68" s="16" t="s">
        <v>49</v>
      </c>
      <c r="L68" s="16" t="s">
        <v>50</v>
      </c>
      <c r="M68" s="16" t="s">
        <v>51</v>
      </c>
      <c r="N68" s="17" t="s">
        <v>63</v>
      </c>
    </row>
    <row r="69" spans="1:14" x14ac:dyDescent="0.3">
      <c r="A69" s="13">
        <v>46314</v>
      </c>
      <c r="B69" s="14">
        <v>700</v>
      </c>
      <c r="C69" s="14">
        <v>30</v>
      </c>
      <c r="D69" s="14">
        <v>250</v>
      </c>
      <c r="E69" s="14">
        <v>150</v>
      </c>
      <c r="F69" s="14">
        <v>2</v>
      </c>
      <c r="G69" s="14">
        <v>100</v>
      </c>
      <c r="H69" s="14">
        <v>245</v>
      </c>
      <c r="I69" s="15">
        <f t="shared" si="0"/>
        <v>1377</v>
      </c>
      <c r="J69" s="15">
        <f t="shared" si="1"/>
        <v>63</v>
      </c>
      <c r="K69" s="16" t="s">
        <v>64</v>
      </c>
      <c r="L69" s="16" t="s">
        <v>57</v>
      </c>
      <c r="M69" s="16" t="s">
        <v>55</v>
      </c>
      <c r="N69" s="17" t="s">
        <v>101</v>
      </c>
    </row>
    <row r="70" spans="1:14" x14ac:dyDescent="0.3">
      <c r="A70" s="13">
        <v>46315</v>
      </c>
      <c r="B70" s="14">
        <v>720</v>
      </c>
      <c r="C70" s="14">
        <v>20</v>
      </c>
      <c r="D70" s="14">
        <v>350</v>
      </c>
      <c r="E70" s="14">
        <v>120</v>
      </c>
      <c r="F70" s="14">
        <v>0</v>
      </c>
      <c r="G70" s="14">
        <v>0</v>
      </c>
      <c r="H70" s="14">
        <v>180</v>
      </c>
      <c r="I70" s="15">
        <f t="shared" ref="I70:I133" si="10">IF(SUM(B70:F70,H70)=0,"",SUM(B70:F70,H70))</f>
        <v>1390</v>
      </c>
      <c r="J70" s="15">
        <f t="shared" ref="J70:J133" si="11">IF(I70="","",1440-I70)</f>
        <v>50</v>
      </c>
      <c r="K70" s="16" t="s">
        <v>64</v>
      </c>
      <c r="L70" s="16" t="s">
        <v>57</v>
      </c>
      <c r="M70" s="16" t="s">
        <v>55</v>
      </c>
      <c r="N70" s="17" t="s">
        <v>62</v>
      </c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10"/>
        <v/>
      </c>
      <c r="J71" s="15" t="str">
        <f t="shared" si="1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0"/>
        <v/>
      </c>
      <c r="J72" s="15" t="str">
        <f t="shared" si="1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0"/>
        <v/>
      </c>
      <c r="J73" s="15" t="str">
        <f t="shared" si="1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0"/>
        <v/>
      </c>
      <c r="J74" s="15" t="str">
        <f t="shared" si="1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0"/>
        <v/>
      </c>
      <c r="J75" s="15" t="str">
        <f t="shared" si="1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0"/>
        <v/>
      </c>
      <c r="J76" s="15" t="str">
        <f t="shared" si="1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0"/>
        <v/>
      </c>
      <c r="J77" s="15" t="str">
        <f t="shared" si="1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0"/>
        <v/>
      </c>
      <c r="J78" s="15" t="str">
        <f t="shared" si="1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0"/>
        <v/>
      </c>
      <c r="J79" s="15" t="str">
        <f t="shared" si="1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0"/>
        <v/>
      </c>
      <c r="J80" s="15" t="str">
        <f t="shared" si="1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0"/>
        <v/>
      </c>
      <c r="J81" s="15" t="str">
        <f t="shared" si="1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0"/>
        <v/>
      </c>
      <c r="J82" s="15" t="str">
        <f t="shared" si="1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0"/>
        <v/>
      </c>
      <c r="J83" s="15" t="str">
        <f t="shared" si="1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0"/>
        <v/>
      </c>
      <c r="J84" s="15" t="str">
        <f t="shared" si="1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0"/>
        <v/>
      </c>
      <c r="J85" s="15" t="str">
        <f t="shared" si="1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0"/>
        <v/>
      </c>
      <c r="J86" s="15" t="str">
        <f t="shared" si="1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0"/>
        <v/>
      </c>
      <c r="J87" s="15" t="str">
        <f t="shared" si="1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0"/>
        <v/>
      </c>
      <c r="J88" s="15" t="str">
        <f t="shared" si="11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2">IF(SUM(B134:F134,H134)=0,"",SUM(B134:F134,H134))</f>
        <v/>
      </c>
      <c r="J134" s="15" t="str">
        <f t="shared" ref="J134:J197" si="13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2"/>
        <v/>
      </c>
      <c r="J135" s="15" t="str">
        <f t="shared" si="1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2"/>
        <v/>
      </c>
      <c r="J136" s="15" t="str">
        <f t="shared" si="1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2"/>
        <v/>
      </c>
      <c r="J137" s="15" t="str">
        <f t="shared" si="1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2"/>
        <v/>
      </c>
      <c r="J138" s="15" t="str">
        <f t="shared" si="1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2"/>
        <v/>
      </c>
      <c r="J139" s="15" t="str">
        <f t="shared" si="1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2"/>
        <v/>
      </c>
      <c r="J140" s="15" t="str">
        <f t="shared" si="1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2"/>
        <v/>
      </c>
      <c r="J141" s="15" t="str">
        <f t="shared" si="1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2"/>
        <v/>
      </c>
      <c r="J142" s="15" t="str">
        <f t="shared" si="1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2"/>
        <v/>
      </c>
      <c r="J143" s="15" t="str">
        <f t="shared" si="1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2"/>
        <v/>
      </c>
      <c r="J144" s="15" t="str">
        <f t="shared" si="13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2"/>
        <v/>
      </c>
      <c r="J145" s="15" t="str">
        <f t="shared" si="13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2"/>
        <v/>
      </c>
      <c r="J146" s="15" t="str">
        <f t="shared" si="13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2"/>
        <v/>
      </c>
      <c r="J147" s="15" t="str">
        <f t="shared" si="13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2"/>
        <v/>
      </c>
      <c r="J148" s="15" t="str">
        <f t="shared" si="13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2"/>
        <v/>
      </c>
      <c r="J149" s="15" t="str">
        <f t="shared" si="13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2"/>
        <v/>
      </c>
      <c r="J150" s="15" t="str">
        <f t="shared" si="13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2"/>
        <v/>
      </c>
      <c r="J151" s="15" t="str">
        <f t="shared" si="13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2"/>
        <v/>
      </c>
      <c r="J152" s="15" t="str">
        <f t="shared" si="13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4">IF(SUM(B198:F198,H198)=0,"",SUM(B198:F198,H198))</f>
        <v/>
      </c>
      <c r="J198" s="15" t="str">
        <f t="shared" ref="J198:J261" si="15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4"/>
        <v/>
      </c>
      <c r="J199" s="15" t="str">
        <f t="shared" si="1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4"/>
        <v/>
      </c>
      <c r="J200" s="15" t="str">
        <f t="shared" si="1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4"/>
        <v/>
      </c>
      <c r="J201" s="15" t="str">
        <f t="shared" si="1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4"/>
        <v/>
      </c>
      <c r="J202" s="15" t="str">
        <f t="shared" si="1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4"/>
        <v/>
      </c>
      <c r="J203" s="15" t="str">
        <f t="shared" si="1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4"/>
        <v/>
      </c>
      <c r="J204" s="15" t="str">
        <f t="shared" si="1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4"/>
        <v/>
      </c>
      <c r="J205" s="15" t="str">
        <f t="shared" si="1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4"/>
        <v/>
      </c>
      <c r="J206" s="15" t="str">
        <f t="shared" si="1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4"/>
        <v/>
      </c>
      <c r="J207" s="15" t="str">
        <f t="shared" si="1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4"/>
        <v/>
      </c>
      <c r="J208" s="15" t="str">
        <f t="shared" si="15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4"/>
        <v/>
      </c>
      <c r="J209" s="15" t="str">
        <f t="shared" si="15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4"/>
        <v/>
      </c>
      <c r="J210" s="15" t="str">
        <f t="shared" si="15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4"/>
        <v/>
      </c>
      <c r="J211" s="15" t="str">
        <f t="shared" si="15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4"/>
        <v/>
      </c>
      <c r="J212" s="15" t="str">
        <f t="shared" si="15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4"/>
        <v/>
      </c>
      <c r="J213" s="15" t="str">
        <f t="shared" si="15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4"/>
        <v/>
      </c>
      <c r="J214" s="15" t="str">
        <f t="shared" si="15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4"/>
        <v/>
      </c>
      <c r="J215" s="15" t="str">
        <f t="shared" si="15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4"/>
        <v/>
      </c>
      <c r="J216" s="15" t="str">
        <f t="shared" si="15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6">IF(SUM(B262:F262,H262)=0,"",SUM(B262:F262,H262))</f>
        <v/>
      </c>
      <c r="J262" s="15" t="str">
        <f t="shared" ref="J262:J325" si="17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6"/>
        <v/>
      </c>
      <c r="J263" s="15" t="str">
        <f t="shared" si="1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6"/>
        <v/>
      </c>
      <c r="J264" s="15" t="str">
        <f t="shared" si="1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6"/>
        <v/>
      </c>
      <c r="J265" s="15" t="str">
        <f t="shared" si="1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6"/>
        <v/>
      </c>
      <c r="J266" s="15" t="str">
        <f t="shared" si="1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6"/>
        <v/>
      </c>
      <c r="J267" s="15" t="str">
        <f t="shared" si="1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6"/>
        <v/>
      </c>
      <c r="J268" s="15" t="str">
        <f t="shared" si="1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6"/>
        <v/>
      </c>
      <c r="J269" s="15" t="str">
        <f t="shared" si="1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6"/>
        <v/>
      </c>
      <c r="J270" s="15" t="str">
        <f t="shared" si="1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6"/>
        <v/>
      </c>
      <c r="J271" s="15" t="str">
        <f t="shared" si="1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6"/>
        <v/>
      </c>
      <c r="J272" s="15" t="str">
        <f t="shared" si="17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6"/>
        <v/>
      </c>
      <c r="J273" s="15" t="str">
        <f t="shared" si="17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6"/>
        <v/>
      </c>
      <c r="J274" s="15" t="str">
        <f t="shared" si="17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6"/>
        <v/>
      </c>
      <c r="J275" s="15" t="str">
        <f t="shared" si="17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6"/>
        <v/>
      </c>
      <c r="J276" s="15" t="str">
        <f t="shared" si="17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6"/>
        <v/>
      </c>
      <c r="J277" s="15" t="str">
        <f t="shared" si="17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6"/>
        <v/>
      </c>
      <c r="J278" s="15" t="str">
        <f t="shared" si="17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6"/>
        <v/>
      </c>
      <c r="J279" s="15" t="str">
        <f t="shared" si="17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6"/>
        <v/>
      </c>
      <c r="J280" s="15" t="str">
        <f t="shared" si="17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8">IF(SUM(B326:F326,H326)=0,"",SUM(B326:F326,H326))</f>
        <v/>
      </c>
      <c r="J326" s="15" t="str">
        <f t="shared" ref="J326:J389" si="19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8"/>
        <v/>
      </c>
      <c r="J327" s="15" t="str">
        <f t="shared" si="1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8"/>
        <v/>
      </c>
      <c r="J328" s="15" t="str">
        <f t="shared" si="1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8"/>
        <v/>
      </c>
      <c r="J329" s="15" t="str">
        <f t="shared" si="1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8"/>
        <v/>
      </c>
      <c r="J330" s="15" t="str">
        <f t="shared" si="1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8"/>
        <v/>
      </c>
      <c r="J331" s="15" t="str">
        <f t="shared" si="1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8"/>
        <v/>
      </c>
      <c r="J332" s="15" t="str">
        <f t="shared" si="1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8"/>
        <v/>
      </c>
      <c r="J333" s="15" t="str">
        <f t="shared" si="1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8"/>
        <v/>
      </c>
      <c r="J334" s="15" t="str">
        <f t="shared" si="1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8"/>
        <v/>
      </c>
      <c r="J335" s="15" t="str">
        <f t="shared" si="1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8"/>
        <v/>
      </c>
      <c r="J336" s="15" t="str">
        <f t="shared" si="19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8"/>
        <v/>
      </c>
      <c r="J337" s="15" t="str">
        <f t="shared" si="19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8"/>
        <v/>
      </c>
      <c r="J338" s="15" t="str">
        <f t="shared" si="19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8"/>
        <v/>
      </c>
      <c r="J339" s="15" t="str">
        <f t="shared" si="19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8"/>
        <v/>
      </c>
      <c r="J340" s="15" t="str">
        <f t="shared" si="19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8"/>
        <v/>
      </c>
      <c r="J341" s="15" t="str">
        <f t="shared" si="19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8"/>
        <v/>
      </c>
      <c r="J342" s="15" t="str">
        <f t="shared" si="19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8"/>
        <v/>
      </c>
      <c r="J343" s="15" t="str">
        <f t="shared" si="19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8"/>
        <v/>
      </c>
      <c r="J344" s="15" t="str">
        <f t="shared" si="19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0">IF(SUM(B390:F390,H390)=0,"",SUM(B390:F390,H390))</f>
        <v/>
      </c>
      <c r="J390" s="15" t="str">
        <f t="shared" ref="J390:J401" si="21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0"/>
        <v/>
      </c>
      <c r="J391" s="15" t="str">
        <f t="shared" si="2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0"/>
        <v/>
      </c>
      <c r="J392" s="15" t="str">
        <f t="shared" si="2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0"/>
        <v/>
      </c>
      <c r="J393" s="15" t="str">
        <f t="shared" si="2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0"/>
        <v/>
      </c>
      <c r="J394" s="15" t="str">
        <f t="shared" si="2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0"/>
        <v/>
      </c>
      <c r="J395" s="15" t="str">
        <f t="shared" si="2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0"/>
        <v/>
      </c>
      <c r="J396" s="15" t="str">
        <f t="shared" si="2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0"/>
        <v/>
      </c>
      <c r="J397" s="15" t="str">
        <f t="shared" si="2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0"/>
        <v/>
      </c>
      <c r="J398" s="15" t="str">
        <f t="shared" si="2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0"/>
        <v/>
      </c>
      <c r="J399" s="15" t="str">
        <f t="shared" si="2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0"/>
        <v/>
      </c>
      <c r="J400" s="15" t="str">
        <f t="shared" si="21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0"/>
        <v/>
      </c>
      <c r="J401" s="15" t="str">
        <f t="shared" si="21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2026-10-21T18:47:31Z</dcterms:modified>
  <dc:language>en-US</dc:language>
</cp:coreProperties>
</file>